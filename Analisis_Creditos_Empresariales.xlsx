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xr:revisionPtr revIDLastSave="0" documentId="13_ncr:1_{53F80D85-CCC6-4F1A-B58B-3EC2AAADF15F}" xr6:coauthVersionLast="47" xr6:coauthVersionMax="47" xr10:uidLastSave="{00000000-0000-0000-0000-000000000000}"/>
  <bookViews>
    <workbookView xWindow="-120" yWindow="-120" windowWidth="20730" windowHeight="11160" xr2:uid="{523EB0D8-98BA-4DFA-BFC6-970F477E2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<sst xmlns="http://schemas.openxmlformats.org/spreadsheetml/2006/main" count="18" uniqueCount="18">
  <si>
    <t>NIT</t>
  </si>
  <si>
    <t>EMPRESA</t>
  </si>
  <si>
    <t>MONTO SOLICITADO</t>
  </si>
  <si>
    <t>INGRESOS MENSUALES</t>
  </si>
  <si>
    <t>Dictamen Inicial</t>
  </si>
  <si>
    <t>Cebollines</t>
  </si>
  <si>
    <t>El Rey</t>
  </si>
  <si>
    <t>Macdonal</t>
  </si>
  <si>
    <t>Burguerking</t>
  </si>
  <si>
    <t>Dominus</t>
  </si>
  <si>
    <t>Litlle sizar</t>
  </si>
  <si>
    <t>Siciliana</t>
  </si>
  <si>
    <t>pollo grangero</t>
  </si>
  <si>
    <t>Burguer lite</t>
  </si>
  <si>
    <t>Pizza lite</t>
  </si>
  <si>
    <t>Loncherines</t>
  </si>
  <si>
    <t>Pollo asado</t>
  </si>
  <si>
    <t>Sarita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</si>
</sst>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CD13D-73B0-4640-A42A-4542E6F299FF}" name="Tabla2" displayName="Tabla2" ref="A1:E14" totalsRowShown="0" headerRowDxfId="8" dataDxfId="6" headerRowBorderDxfId="7" tableBorderDxfId="5">
  <autoFilter ref="A1:E14" xr:uid="{4E7CD13D-73B0-4640-A42A-4542E6F299F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EAEF465-0B1D-4D4B-914F-AFD11E984C3A}" name="NIT" dataDxfId="4"/>
    <tableColumn id="2" xr3:uid="{5F475FD9-49D6-4AE1-B088-48D1797FF055}" name="EMPRESA" dataDxfId="3"/>
    <tableColumn id="3" xr3:uid="{06A393A4-D0D7-4C4F-872E-8AA4A0F60BEA}" name="MONTO SOLICITADO" dataDxfId="2"/>
    <tableColumn id="4" xr3:uid="{6677A1DE-BDE6-40FE-8559-870DEC94B6F6}" name="INGRESOS MENSUALES" dataDxfId="1"/>
    <tableColumn id="5" xr3:uid="{95E41D52-6107-4526-816E-7B78C9EE8017}" name="Dictamen Inicial" dataDxfId="0">
      <calculatedColumnFormula>IF(D2&gt;=50000,"Aprobacion Inmediata",IF(D2&gt;=30000,"Requiere Condeudor",IF(D2&gt;15000,"Analisis de comite","Credito denegado")))</calculatedColumnFormula>
    </tableColumn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3F9E-6AC5-4EEA-8422-A13E8CF557C6}">
  <dimension ref="A1:E14"/>
  <sheetViews>
    <sheetView tabSelected="1" workbookViewId="0">
      <selection activeCell="C14" sqref="C14"/>
    </sheetView>
  </sheetViews>
  <sheetFormatPr baseColWidth="10" defaultRowHeight="15" x14ac:dyDescent="0.25"/>
  <cols>
    <col min="2" max="2" width="13.85546875" bestFit="1" customWidth="1"/>
    <col min="3" max="3" width="21.28515625" customWidth="1"/>
    <col min="4" max="4" width="23.42578125" customWidth="1"/>
    <col min="5" max="5" width="19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 t="s">
        <v>5</v>
      </c>
      <c r="C2" s="2">
        <v>1234</v>
      </c>
      <c r="D2" s="2">
        <v>30000</v>
      </c>
      <c r="E2" s="2" t="str">
        <f>IF(D2&gt;=50000,"Aprobacion Inmediata",IF(D2&gt;=30000,"Requiere Condeudor",IF(D2&gt;15000,"Analisis de comite","Credito denegado")))</f>
        <v>Requiere Condeudor</v>
      </c>
    </row>
    <row r="3" spans="1:5" x14ac:dyDescent="0.25">
      <c r="A3" s="2"/>
      <c r="B3" s="2" t="s">
        <v>6</v>
      </c>
      <c r="C3" s="2">
        <v>56494</v>
      </c>
      <c r="D3" s="2">
        <v>25000</v>
      </c>
      <c r="E3" s="2" t="str">
        <f>IF(D3&gt;=50000,"Aprobacion Inmediata",IF(D3&gt;=30000,"Requiere Condeudor",IF(D3&gt;15000,"Analisis de comite","Credito denegado")))</f>
        <v>Analisis de comite</v>
      </c>
    </row>
    <row r="4" spans="1:5" x14ac:dyDescent="0.25">
      <c r="A4" s="2"/>
      <c r="B4" s="2" t="s">
        <v>7</v>
      </c>
      <c r="C4" s="2">
        <v>48789</v>
      </c>
      <c r="D4" s="2">
        <v>10000</v>
      </c>
      <c r="E4" s="2" t="str">
        <f t="shared" ref="E4:E14" si="0">IF(D4&gt;=50000,"Aprobacion Inmediata",IF(D4&gt;=30000,"Requiere Condeudor",IF(D4&gt;15000,"Analisis de comite","Credito denegado")))</f>
        <v>Credito denegado</v>
      </c>
    </row>
    <row r="5" spans="1:5" x14ac:dyDescent="0.25">
      <c r="A5" s="2"/>
      <c r="B5" s="2" t="s">
        <v>8</v>
      </c>
      <c r="C5" s="2">
        <v>45898</v>
      </c>
      <c r="D5" s="2">
        <v>11000</v>
      </c>
      <c r="E5" s="2" t="str">
        <f t="shared" si="0"/>
        <v>Credito denegado</v>
      </c>
    </row>
    <row r="6" spans="1:5" x14ac:dyDescent="0.25">
      <c r="A6" s="2"/>
      <c r="B6" s="2" t="s">
        <v>9</v>
      </c>
      <c r="C6" s="2">
        <v>898484</v>
      </c>
      <c r="D6" s="2">
        <v>15000</v>
      </c>
      <c r="E6" s="2" t="str">
        <f t="shared" si="0"/>
        <v>Credito denegado</v>
      </c>
    </row>
    <row r="7" spans="1:5" x14ac:dyDescent="0.25">
      <c r="A7" s="2"/>
      <c r="B7" s="2" t="s">
        <v>10</v>
      </c>
      <c r="C7" s="2">
        <v>465498</v>
      </c>
      <c r="D7" s="2">
        <v>4568</v>
      </c>
      <c r="E7" s="2" t="str">
        <f t="shared" si="0"/>
        <v>Credito denegado</v>
      </c>
    </row>
    <row r="8" spans="1:5" x14ac:dyDescent="0.25">
      <c r="A8" s="2"/>
      <c r="B8" s="2" t="s">
        <v>11</v>
      </c>
      <c r="C8" s="2">
        <v>448974</v>
      </c>
      <c r="D8" s="2">
        <v>25000</v>
      </c>
      <c r="E8" s="2" t="str">
        <f t="shared" si="0"/>
        <v>Analisis de comite</v>
      </c>
    </row>
    <row r="9" spans="1:5" x14ac:dyDescent="0.25">
      <c r="A9" s="2"/>
      <c r="B9" s="2" t="s">
        <v>12</v>
      </c>
      <c r="C9" s="2">
        <v>44987</v>
      </c>
      <c r="D9" s="2">
        <v>12202</v>
      </c>
      <c r="E9" s="2" t="str">
        <f t="shared" si="0"/>
        <v>Credito denegado</v>
      </c>
    </row>
    <row r="10" spans="1:5" x14ac:dyDescent="0.25">
      <c r="A10" s="2"/>
      <c r="B10" s="2" t="s">
        <v>17</v>
      </c>
      <c r="C10" s="2">
        <v>49847987</v>
      </c>
      <c r="D10" s="2">
        <v>45555</v>
      </c>
      <c r="E10" s="2" t="str">
        <f t="shared" si="0"/>
        <v>Requiere Condeudor</v>
      </c>
    </row>
    <row r="11" spans="1:5" x14ac:dyDescent="0.25">
      <c r="A11" s="2"/>
      <c r="B11" s="2" t="s">
        <v>16</v>
      </c>
      <c r="C11" s="2">
        <v>494897</v>
      </c>
      <c r="D11" s="2">
        <v>7845</v>
      </c>
      <c r="E11" s="2" t="str">
        <f t="shared" si="0"/>
        <v>Credito denegado</v>
      </c>
    </row>
    <row r="12" spans="1:5" x14ac:dyDescent="0.25">
      <c r="A12" s="2"/>
      <c r="B12" s="2" t="s">
        <v>15</v>
      </c>
      <c r="C12" s="2">
        <v>498477</v>
      </c>
      <c r="D12" s="2">
        <v>35684</v>
      </c>
      <c r="E12" s="2" t="str">
        <f t="shared" si="0"/>
        <v>Requiere Condeudor</v>
      </c>
    </row>
    <row r="13" spans="1:5" x14ac:dyDescent="0.25">
      <c r="A13" s="2"/>
      <c r="B13" s="2" t="s">
        <v>14</v>
      </c>
      <c r="C13" s="2">
        <v>48977</v>
      </c>
      <c r="D13" s="2">
        <v>25424</v>
      </c>
      <c r="E13" s="2" t="str">
        <f t="shared" si="0"/>
        <v>Analisis de comite</v>
      </c>
    </row>
    <row r="14" spans="1:5" x14ac:dyDescent="0.25">
      <c r="A14" s="2"/>
      <c r="B14" s="2" t="s">
        <v>13</v>
      </c>
      <c r="C14" s="2">
        <v>4987897</v>
      </c>
      <c r="D14" s="2">
        <v>16000</v>
      </c>
      <c r="E14" s="2" t="str">
        <f t="shared" si="0"/>
        <v>Analisis de comite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2026-05-21T06:50:39Z</dcterms:created>
  <dcterms:modified xsi:type="dcterms:W3CDTF">2026-05-21T09:14:02Z</dcterms:modified>
</cp:coreProperties>
</file>